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tch Test Results" sheetId="1" state="visible" r:id="rId3"/>
    <sheet name="My Independent Scoring" sheetId="2" state="visible" r:id="rId4"/>
    <sheet name="How to Us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<sst xmlns="http://schemas.openxmlformats.org/spreadsheetml/2006/main" count="76" uniqueCount="68">
  <si>
    <t xml:space="preserve">Batch Test Results — Pre-Session Scoring</t>
  </si>
  <si>
    <t xml:space="preserve">Run against every team's submission BEFORE the live session (submissions due 2 hrs ahead). Fill yellow cells only: 1 = pass/correct, 0 = fail/incorrect.</t>
  </si>
  <si>
    <t xml:space="preserve">Team #</t>
  </si>
  <si>
    <t xml:space="preserve">Team Name</t>
  </si>
  <si>
    <t xml:space="preserve">Retrieval Q1</t>
  </si>
  <si>
    <t xml:space="preserve">Retrieval Q2</t>
  </si>
  <si>
    <t xml:space="preserve">Retrieval Q3</t>
  </si>
  <si>
    <t xml:space="preserve">Retrieval Q4</t>
  </si>
  <si>
    <t xml:space="preserve">Retrieval Q5</t>
  </si>
  <si>
    <t xml:space="preserve">Retrieval % (auto)</t>
  </si>
  <si>
    <t xml:space="preserve">Adversarial Q1</t>
  </si>
  <si>
    <t xml:space="preserve">Adversarial Q2</t>
  </si>
  <si>
    <t xml:space="preserve">Adversarial Q3</t>
  </si>
  <si>
    <t xml:space="preserve">Adversarial Q4</t>
  </si>
  <si>
    <t xml:space="preserve">Adversarial Q5</t>
  </si>
  <si>
    <t xml:space="preserve">Adversarial Q6</t>
  </si>
  <si>
    <t xml:space="preserve">Adversarial Q7</t>
  </si>
  <si>
    <t xml:space="preserve">Fabrication % (auto)</t>
  </si>
  <si>
    <t xml:space="preserve">Positive Control (%, 3 cases)</t>
  </si>
  <si>
    <t xml:space="preserve">Judge</t>
  </si>
  <si>
    <t xml:space="preserve">Notes (batch run)</t>
  </si>
  <si>
    <t xml:space="preserve">0</t>
  </si>
  <si>
    <t xml:space="preserve">Team Example (sample — delete before use)</t>
  </si>
  <si>
    <t xml:space="preserve">Jayanta</t>
  </si>
  <si>
    <t xml:space="preserve">Failed retrieval Q3 (wrong category); flagged adversarial Q2 fabrication in the live checkpoint</t>
  </si>
  <si>
    <t xml:space="preserve">Ananya</t>
  </si>
  <si>
    <t xml:space="preserve">Jayanta (rehearsal)</t>
  </si>
  <si>
    <t xml:space="preserve">REDESIGNED REHEARSAL (all 3 teams now use Neo4j, per correction). Retrieval + all 7 adversarial + all 3 positive controls are FULLY COMPUTED: team's actual generic entity-extraction + shortestPath code, executed for real (networkx stand-in for Neo4j) against a TF-IDF retrieval proxy for the exact 7 hidden adversarial + 3 hidden positive-control questions. Every record is a graph node; extraction covers Student/Alumnus/Ticket IDs across the whole dataset -- including Q7, the new room-number trap (Room 118 shared by two unrelated students, S006 and S012): correctly denied because the check links on Student ID, not room number. Denies every fabricated link, affirms every genuine one -- full marks, no estimation involved.</t>
  </si>
  <si>
    <t xml:space="preserve">Rahul</t>
  </si>
  <si>
    <t xml:space="preserve">REDESIGNED REHEARSAL. Uses real Neo4j (shortestPath), but the graph only contains the 2 pairs they personally self-tested (HMT-58 ticket pair, Student S001 fee/scholarship pair) -- everything else is not in the graph at all, so the check NEVER FIRES on any of the 7 hidden adversarial questions (0/7 checked, computed/real). Adversarial Q2=0 is EVIDENCED, not guessed: this exact question fabricated a connection when run as plain baseline earlier in this workshop's own testing, and Team 2's fallback for it is architecturally identical to that baseline. Q1/Q3/Q4/Q5/Q6/Q7 are ESTIMATES (directional only) since no check fires and outcome depends on the live LLM. Positive control: 2/3 COMPUTED -- correctly affirms their 2 modeled pairs, but the check never fires for Student S009 (not modeled), so that one falls back to baseline; whether baseline gets it right by literally re-reading 'Student S009' from both records is a genuine unknown, marked as a fail here to be conservative. Failure signature: narrow SCOPE, not a broken mechanism. Q7 (the new room-118 trap, S006 vs S012) is estimated as a FAIL: both retrieved records repeat 'Room 118' verbatim, which is exactly the kind of shared incidental text a plain LLM is likely to treat as a real connection without a working check to override it.</t>
  </si>
  <si>
    <t xml:space="preserve">Priya</t>
  </si>
  <si>
    <t xml:space="preserve">REDESIGNED REHEARSAL. Uses real Neo4j with generic entity extraction across the whole dataset, same pattern as Team 1 -- but their regex only matches 'Student S0xx'/'Alumnus A0xx', never a ticket code pattern like HMT-58. Adversarial: 7/7 FULLY COMPUTED, no gap there -- including the new Q7 room-118 trap (S006 vs S012), which their Student-ID regex denies correctly since it never looks at room numbers at all. Positive control: 2/3 COMPUTED and deterministic -- correctly affirms the 2 Student-based positive controls, but WRONGLY says 'unrelated' for the HMT-58 maintenance-ticket pair specifically, because both records sit in the graph as isolated nodes (their extractor never saw the ticket code at all). Failure signature: real COVERAGE gap in an otherwise sound generalized mechanism, not a scope-limited hack -- different profile from Team 2 even though the headline score is similar.</t>
  </si>
  <si>
    <t xml:space="preserve">My Independent Scoring — Day 2</t>
  </si>
  <si>
    <t xml:space="preserve">This is your own score sheet — do not share live with co-judges while scoring, to keep your judgment independent. Yellow cells = fill in; everything else calculates automatically.</t>
  </si>
  <si>
    <t xml:space="preserve">Rubric weights: Retrieval correctness 25% · No fabricated connections 35% · Grounding mechanism 15% · Runs end-to-end 15% · Live demo clarity 10%</t>
  </si>
  <si>
    <t xml:space="preserve">Retrieval % (from batch)</t>
  </si>
  <si>
    <t xml:space="preserve">Fabrication % (from batch)</t>
  </si>
  <si>
    <t xml:space="preserve">Grounding Mechanism (0-100)</t>
  </si>
  <si>
    <t xml:space="preserve">Runs End-to-End (0 or 100)</t>
  </si>
  <si>
    <t xml:space="preserve">Live Demo Clarity (0-100)</t>
  </si>
  <si>
    <t xml:space="preserve">Weighted Total</t>
  </si>
  <si>
    <t xml:space="preserve">Rank</t>
  </si>
  <si>
    <t xml:space="preserve">Checkpoint Q asked</t>
  </si>
  <si>
    <t xml:space="preserve">Team's answer (brief)</t>
  </si>
  <si>
    <t xml:space="preserve">Judge notes</t>
  </si>
  <si>
    <t xml:space="preserve">Ask a hidden question live</t>
  </si>
  <si>
    <t xml:space="preserve">Correctly said 'no connection' with the specific record IDs cited.</t>
  </si>
  <si>
    <t xml:space="preserve">Real Neo4j graph, generic entity extraction over the whole dataset -- exactly the taught mechanism, at full scope. Could clearly explain the shortestPath check when asked.</t>
  </si>
  <si>
    <t xml:space="preserve">Your graph only has 2 pairs in it -- what happens on a question outside those two?</t>
  </si>
  <si>
    <t xml:space="preserve">Acknowledged it falls back to plain retrieval+LLM for anything else; said they ran out of time to generalize the extraction.</t>
  </si>
  <si>
    <t xml:space="preserve">Real Neo4j mechanism, same taught pattern as Team 1 in kind -- but scoped to only the 2 examples they personally tried, so it provides zero protection on anything else. This is exactly the 'does your check fire on any pair, or only the ones you tested' question from the judging bank. Team was honest about the limitation, which helped clarity.</t>
  </si>
  <si>
    <t xml:space="preserve">What kinds of IDs does your entity extraction look for?</t>
  </si>
  <si>
    <t xml:space="preserve">Named Student and Alumnus IDs; hadn't considered ticket codes as a separate entity type to extract.</t>
  </si>
  <si>
    <t xml:space="preserve">Real, generalized Neo4j mechanism applied across the whole dataset -- same architecture as Team 1, and it shows in a clean 6/6 on the adversarial set. The one hidden-set miss (HMT-58 positive control) is a genuine, narrow coverage gap, not a fundamentally different approach -- a good example of a sound mechanism with one blind spot the hidden set caught.</t>
  </si>
  <si>
    <t xml:space="preserve">How to use this scoring workbook</t>
  </si>
  <si>
    <t xml:space="preserve">1. Submission deadline: set 2 hours before your Day 2 (2:00-3:30 PM) slot — e.g. 12:00 PM if the session starts at 2:00 PM.</t>
  </si>
  <si>
    <t xml:space="preserve">2. BEFORE the live session — 'Batch Test Results' tab:</t>
  </si>
  <si>
    <t xml:space="preserve">   - Run each team's submission against your fixed retrieval test questions (5 suggested) and the 6 hidden adversarial questions, plus the 3 positive-control questions (where the correct answer IS a connection) -- score that one in its own column (P), not folded into Fabrication %.</t>
  </si>
  <si>
    <t xml:space="preserve">   - Mark 1 (pass/correct) or 0 (fail/incorrect) in the yellow cells. Retrieval % and Fabrication % calculate automatically.</t>
  </si>
  <si>
    <t xml:space="preserve">   - This does NOT require the team present — do this in the gap between submission deadline and the live session.</t>
  </si>
  <si>
    <t xml:space="preserve">3. DURING the live session — 'My Independent Scoring' tab:</t>
  </si>
  <si>
    <t xml:space="preserve">   - Team #, Team Name, Retrieval %, and Fabrication % pull in automatically from the Batch tab (green text = auto-filled, do not edit).</t>
  </si>
  <si>
    <t xml:space="preserve">   - Fill in Grounding Mechanism, Runs End-to-End, and Live Demo Clarity live, using the judges_evaluation_question_bank.md checklist.</t>
  </si>
  <si>
    <t xml:space="preserve">   - Log which checkpoint question you asked and a brief note on their answer — useful if you need to justify a borderline score later.</t>
  </si>
  <si>
    <t xml:space="preserve">   - Weighted Total and Rank calculate automatically as you go.</t>
  </si>
  <si>
    <t xml:space="preserve">4. Keep this workbook to yourself while scoring if there are other judges — you asked to keep your evaluation independent. Compare/reconcile scores only after everyone has submitted theirs.</t>
  </si>
  <si>
    <t xml:space="preserve">5. Delete the italic example row (row 5) in 'Batch Test Results' before the real event — it's there to show the expected input format only.</t>
  </si>
  <si>
    <t xml:space="preserve">Rubric weights (fixed, from the workshop plan): Retrieval correctness 25% · No fabricated connections 35% · Grounding mechanism present 15% · Runs end-to-end 15% · Live demo clarity 10%.</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</si>
</sst>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1"/>
      <color rgb="FFFFFFFF"/>
      <name val="Arial"/>
      <family val="0"/>
      <charset val="1"/>
    </font>
    <font>
      <i val="true"/>
      <sz val="11"/>
      <color rgb="FF808080"/>
      <name val="Arial"/>
      <family val="0"/>
      <charset val="1"/>
    </font>
    <font>
      <sz val="11"/>
      <color rgb="FF0000FF"/>
      <name val="Arial"/>
      <family val="0"/>
      <charset val="1"/>
    </font>
    <font>
      <sz val="11"/>
      <color rgb="FF000000"/>
      <name val="Arial"/>
      <family val="0"/>
      <charset val="1"/>
    </font>
    <font>
      <i val="true"/>
      <sz val="9"/>
      <color rgb="FF595959"/>
      <name val="Arial"/>
      <family val="0"/>
      <charset val="1"/>
    </font>
    <font>
      <sz val="11"/>
      <color rgb="FF008000"/>
      <name val="Arial"/>
      <family val="0"/>
      <charset val="1"/>
    </font>
    <font>
      <b val="true"/>
      <sz val="11"/>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2F5496"/>
        <bgColor rgb="FF59595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7" min="3" style="1" width="10"/>
    <col collapsed="false" customWidth="true" hidden="false" outlineLevel="0" max="8" min="8" style="1" width="12"/>
    <col collapsed="false" customWidth="true" hidden="false" outlineLevel="0" max="11" min="9" style="1" width="11"/>
    <col collapsed="false" customWidth="true" hidden="false" outlineLevel="0" max="14" min="12" style="1" width="13"/>
    <col collapsed="false" customWidth="true" hidden="false" outlineLevel="0" max="17" min="16" style="1" width="13"/>
  </cols>
  <sheetData>
    <row r="1" customFormat="false" ht="17.25" hidden="false" customHeight="true" outlineLevel="0" collapsed="false">
      <c r="A1" s="2" t="s">
        <v>0</v>
      </c>
      <c r="B1" s="2"/>
      <c r="C1" s="2"/>
      <c r="D1" s="2"/>
      <c r="E1" s="2"/>
      <c r="F1" s="2"/>
      <c r="G1" s="2"/>
      <c r="H1" s="2"/>
      <c r="I1" s="2"/>
      <c r="J1" s="2"/>
      <c r="K1" s="2"/>
      <c r="L1" s="2"/>
      <c r="M1" s="2"/>
      <c r="N1" s="2"/>
    </row>
    <row r="2" customFormat="false" ht="15" hidden="false" customHeight="true" outlineLevel="0" collapsed="false">
      <c r="A2" s="3" t="s">
        <v>1</v>
      </c>
      <c r="B2" s="3"/>
      <c r="C2" s="3"/>
      <c r="D2" s="3"/>
      <c r="E2" s="3"/>
      <c r="F2" s="3"/>
      <c r="G2" s="3"/>
      <c r="H2" s="3"/>
      <c r="I2" s="3"/>
      <c r="J2" s="3"/>
      <c r="K2" s="3"/>
      <c r="L2" s="3"/>
      <c r="M2" s="3"/>
      <c r="N2" s="3"/>
    </row>
    <row r="4" customFormat="false" ht="26.2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row>
    <row r="5" customFormat="false" ht="39" hidden="false" customHeight="true" outlineLevel="0" collapsed="false">
      <c r="A5" s="5" t="s">
        <v>21</v>
      </c>
      <c r="B5" s="6" t="s">
        <v>22</v>
      </c>
      <c r="C5" s="5" t="n">
        <v>1</v>
      </c>
      <c r="D5" s="5" t="n">
        <v>1</v>
      </c>
      <c r="E5" s="5" t="n">
        <v>0</v>
      </c>
      <c r="F5" s="5" t="n">
        <v>1</v>
      </c>
      <c r="G5" s="5" t="n">
        <v>1</v>
      </c>
      <c r="H5" s="5" t="n">
        <f aca="false">IFERROR(AVERAGE(C5:G5)*100,"")</f>
        <v>80</v>
      </c>
      <c r="I5" s="5" t="n">
        <v>1</v>
      </c>
      <c r="J5" s="5" t="n">
        <v>0</v>
      </c>
      <c r="K5" s="5" t="n">
        <v>1</v>
      </c>
      <c r="L5" s="5" t="n">
        <v>0</v>
      </c>
      <c r="M5" s="5" t="n">
        <v>1</v>
      </c>
      <c r="N5" s="5" t="n">
        <v>1</v>
      </c>
      <c r="O5" s="5" t="n">
        <v>1</v>
      </c>
      <c r="P5" s="5" t="n">
        <f aca="false">IFERROR(AVERAGE(I5:O5)*100,"")</f>
        <v>71.4285714285714</v>
      </c>
      <c r="Q5" s="5" t="n">
        <v>1</v>
      </c>
      <c r="R5" s="5" t="s">
        <v>23</v>
      </c>
      <c r="S5" s="6" t="s">
        <v>24</v>
      </c>
    </row>
    <row r="6" customFormat="false" ht="15" hidden="false" customHeight="true" outlineLevel="0" collapsed="false">
      <c r="A6" s="7" t="n">
        <v>1</v>
      </c>
      <c r="B6" s="8" t="s">
        <v>25</v>
      </c>
      <c r="C6" s="9" t="n">
        <v>1</v>
      </c>
      <c r="D6" s="9" t="n">
        <v>1</v>
      </c>
      <c r="E6" s="9" t="n">
        <v>1</v>
      </c>
      <c r="F6" s="9" t="n">
        <v>1</v>
      </c>
      <c r="G6" s="9" t="n">
        <v>1</v>
      </c>
      <c r="H6" s="10" t="n">
        <f aca="false">IFERROR(AVERAGE(C6:G6)*100,"")</f>
        <v>100</v>
      </c>
      <c r="I6" s="9" t="n">
        <v>1</v>
      </c>
      <c r="J6" s="9" t="n">
        <v>1</v>
      </c>
      <c r="K6" s="9" t="n">
        <v>1</v>
      </c>
      <c r="L6" s="9" t="n">
        <v>1</v>
      </c>
      <c r="M6" s="9" t="n">
        <v>1</v>
      </c>
      <c r="N6" s="9" t="n">
        <v>1</v>
      </c>
      <c r="O6" s="9" t="n">
        <v>1</v>
      </c>
      <c r="P6" s="10" t="n">
        <f aca="false">IFERROR(AVERAGE(I6:O6)*100,"")</f>
        <v>100</v>
      </c>
      <c r="Q6" s="9" t="n">
        <v>100</v>
      </c>
      <c r="R6" s="8" t="s">
        <v>26</v>
      </c>
      <c r="S6" s="11" t="s">
        <v>27</v>
      </c>
    </row>
    <row r="7" customFormat="false" ht="15" hidden="false" customHeight="true" outlineLevel="0" collapsed="false">
      <c r="A7" s="7" t="n">
        <v>2</v>
      </c>
      <c r="B7" s="8" t="s">
        <v>28</v>
      </c>
      <c r="C7" s="9" t="n">
        <v>1</v>
      </c>
      <c r="D7" s="9" t="n">
        <v>1</v>
      </c>
      <c r="E7" s="9" t="n">
        <v>1</v>
      </c>
      <c r="F7" s="9" t="n">
        <v>1</v>
      </c>
      <c r="G7" s="9" t="n">
        <v>1</v>
      </c>
      <c r="H7" s="10" t="n">
        <f aca="false">IFERROR(AVERAGE(C7:G7)*100,"")</f>
        <v>100</v>
      </c>
      <c r="I7" s="9" t="n">
        <v>1</v>
      </c>
      <c r="J7" s="9" t="n">
        <v>0</v>
      </c>
      <c r="K7" s="9" t="n">
        <v>1</v>
      </c>
      <c r="L7" s="9" t="n">
        <v>1</v>
      </c>
      <c r="M7" s="9" t="n">
        <v>1</v>
      </c>
      <c r="N7" s="9" t="n">
        <v>1</v>
      </c>
      <c r="O7" s="9" t="n">
        <v>0</v>
      </c>
      <c r="P7" s="10" t="n">
        <f aca="false">IFERROR(AVERAGE(I7:O7)*100,"")</f>
        <v>71.4285714285714</v>
      </c>
      <c r="Q7" s="9" t="n">
        <v>67</v>
      </c>
      <c r="R7" s="8" t="s">
        <v>26</v>
      </c>
      <c r="S7" s="11" t="s">
        <v>29</v>
      </c>
    </row>
    <row r="8" customFormat="false" ht="15" hidden="false" customHeight="true" outlineLevel="0" collapsed="false">
      <c r="A8" s="7" t="n">
        <v>3</v>
      </c>
      <c r="B8" s="8" t="s">
        <v>30</v>
      </c>
      <c r="C8" s="9" t="n">
        <v>1</v>
      </c>
      <c r="D8" s="9" t="n">
        <v>1</v>
      </c>
      <c r="E8" s="9" t="n">
        <v>1</v>
      </c>
      <c r="F8" s="9" t="n">
        <v>1</v>
      </c>
      <c r="G8" s="9" t="n">
        <v>1</v>
      </c>
      <c r="H8" s="10" t="n">
        <f aca="false">IFERROR(AVERAGE(C8:G8)*100,"")</f>
        <v>100</v>
      </c>
      <c r="I8" s="9" t="n">
        <v>1</v>
      </c>
      <c r="J8" s="9" t="n">
        <v>1</v>
      </c>
      <c r="K8" s="9" t="n">
        <v>1</v>
      </c>
      <c r="L8" s="9" t="n">
        <v>1</v>
      </c>
      <c r="M8" s="9" t="n">
        <v>1</v>
      </c>
      <c r="N8" s="9" t="n">
        <v>1</v>
      </c>
      <c r="O8" s="9" t="n">
        <v>1</v>
      </c>
      <c r="P8" s="10" t="n">
        <f aca="false">IFERROR(AVERAGE(I8:O8)*100,"")</f>
        <v>100</v>
      </c>
      <c r="Q8" s="9" t="n">
        <v>67</v>
      </c>
      <c r="R8" s="8" t="s">
        <v>26</v>
      </c>
      <c r="S8" s="11" t="s">
        <v>31</v>
      </c>
    </row>
    <row r="9" customFormat="false" ht="15" hidden="false" customHeight="true" outlineLevel="0" collapsed="false">
      <c r="A9" s="7" t="n">
        <v>4</v>
      </c>
      <c r="B9" s="8"/>
      <c r="C9" s="9"/>
      <c r="D9" s="9"/>
      <c r="E9" s="9"/>
      <c r="F9" s="9"/>
      <c r="G9" s="9"/>
      <c r="H9" s="10" t="str">
        <f aca="false">IFERROR(AVERAGE(C9:G9)*100,"")</f>
        <v/>
      </c>
      <c r="I9" s="9"/>
      <c r="J9" s="9"/>
      <c r="K9" s="9"/>
      <c r="L9" s="9"/>
      <c r="M9" s="9"/>
      <c r="N9" s="9"/>
      <c r="O9" s="9"/>
      <c r="P9" s="10" t="str">
        <f aca="false">IFERROR(AVERAGE(I9:O9)*100,"")</f>
        <v/>
      </c>
      <c r="Q9" s="9"/>
      <c r="R9" s="8"/>
      <c r="S9" s="11"/>
    </row>
    <row r="10" customFormat="false" ht="15" hidden="false" customHeight="true" outlineLevel="0" collapsed="false">
      <c r="A10" s="7" t="n">
        <v>5</v>
      </c>
      <c r="B10" s="8"/>
      <c r="C10" s="9"/>
      <c r="D10" s="9"/>
      <c r="E10" s="9"/>
      <c r="F10" s="9"/>
      <c r="G10" s="9"/>
      <c r="H10" s="10" t="str">
        <f aca="false">IFERROR(AVERAGE(C10:G10)*100,"")</f>
        <v/>
      </c>
      <c r="I10" s="9"/>
      <c r="J10" s="9"/>
      <c r="K10" s="9"/>
      <c r="L10" s="9"/>
      <c r="M10" s="9"/>
      <c r="N10" s="9"/>
      <c r="O10" s="9"/>
      <c r="P10" s="10" t="str">
        <f aca="false">IFERROR(AVERAGE(I10:O10)*100,"")</f>
        <v/>
      </c>
      <c r="Q10" s="9"/>
      <c r="R10" s="8"/>
      <c r="S10" s="11"/>
    </row>
    <row r="11" customFormat="false" ht="15" hidden="false" customHeight="true" outlineLevel="0" collapsed="false">
      <c r="A11" s="7" t="n">
        <v>6</v>
      </c>
      <c r="B11" s="8"/>
      <c r="C11" s="9"/>
      <c r="D11" s="9"/>
      <c r="E11" s="9"/>
      <c r="F11" s="9"/>
      <c r="G11" s="9"/>
      <c r="H11" s="10" t="str">
        <f aca="false">IFERROR(AVERAGE(C11:G11)*100,"")</f>
        <v/>
      </c>
      <c r="I11" s="9"/>
      <c r="J11" s="9"/>
      <c r="K11" s="9"/>
      <c r="L11" s="9"/>
      <c r="M11" s="9"/>
      <c r="N11" s="9"/>
      <c r="O11" s="9"/>
      <c r="P11" s="10" t="str">
        <f aca="false">IFERROR(AVERAGE(I11:O11)*100,"")</f>
        <v/>
      </c>
      <c r="Q11" s="9"/>
      <c r="R11" s="8"/>
      <c r="S11" s="11"/>
    </row>
    <row r="12" customFormat="false" ht="15" hidden="false" customHeight="true" outlineLevel="0" collapsed="false">
      <c r="A12" s="7" t="n">
        <v>7</v>
      </c>
      <c r="B12" s="8"/>
      <c r="C12" s="9"/>
      <c r="D12" s="9"/>
      <c r="E12" s="9"/>
      <c r="F12" s="9"/>
      <c r="G12" s="9"/>
      <c r="H12" s="10" t="str">
        <f aca="false">IFERROR(AVERAGE(C12:G12)*100,"")</f>
        <v/>
      </c>
      <c r="I12" s="9"/>
      <c r="J12" s="9"/>
      <c r="K12" s="9"/>
      <c r="L12" s="9"/>
      <c r="M12" s="9"/>
      <c r="N12" s="9"/>
      <c r="O12" s="9"/>
      <c r="P12" s="10" t="str">
        <f aca="false">IFERROR(AVERAGE(I12:O12)*100,"")</f>
        <v/>
      </c>
      <c r="Q12" s="9"/>
      <c r="R12" s="8"/>
      <c r="S12" s="11"/>
    </row>
    <row r="13" customFormat="false" ht="15" hidden="false" customHeight="true" outlineLevel="0" collapsed="false">
      <c r="A13" s="7" t="n">
        <v>8</v>
      </c>
      <c r="B13" s="8"/>
      <c r="C13" s="9"/>
      <c r="D13" s="9"/>
      <c r="E13" s="9"/>
      <c r="F13" s="9"/>
      <c r="G13" s="9"/>
      <c r="H13" s="10" t="str">
        <f aca="false">IFERROR(AVERAGE(C13:G13)*100,"")</f>
        <v/>
      </c>
      <c r="I13" s="9"/>
      <c r="J13" s="9"/>
      <c r="K13" s="9"/>
      <c r="L13" s="9"/>
      <c r="M13" s="9"/>
      <c r="N13" s="9"/>
      <c r="O13" s="9"/>
      <c r="P13" s="10" t="str">
        <f aca="false">IFERROR(AVERAGE(I13:O13)*100,"")</f>
        <v/>
      </c>
      <c r="Q13" s="9"/>
      <c r="R13" s="8"/>
      <c r="S13" s="11"/>
    </row>
    <row r="14" customFormat="false" ht="15" hidden="false" customHeight="true" outlineLevel="0" collapsed="false">
      <c r="A14" s="7" t="n">
        <v>9</v>
      </c>
      <c r="B14" s="8"/>
      <c r="C14" s="9"/>
      <c r="D14" s="9"/>
      <c r="E14" s="9"/>
      <c r="F14" s="9"/>
      <c r="G14" s="9"/>
      <c r="H14" s="10" t="str">
        <f aca="false">IFERROR(AVERAGE(C14:G14)*100,"")</f>
        <v/>
      </c>
      <c r="I14" s="9"/>
      <c r="J14" s="9"/>
      <c r="K14" s="9"/>
      <c r="L14" s="9"/>
      <c r="M14" s="9"/>
      <c r="N14" s="9"/>
      <c r="O14" s="9"/>
      <c r="P14" s="10" t="str">
        <f aca="false">IFERROR(AVERAGE(I14:O14)*100,"")</f>
        <v/>
      </c>
      <c r="Q14" s="9"/>
      <c r="R14" s="8"/>
      <c r="S14" s="11"/>
    </row>
    <row r="15" customFormat="false" ht="15" hidden="false" customHeight="true" outlineLevel="0" collapsed="false">
      <c r="A15" s="7" t="n">
        <v>10</v>
      </c>
      <c r="B15" s="8"/>
      <c r="C15" s="9"/>
      <c r="D15" s="9"/>
      <c r="E15" s="9"/>
      <c r="F15" s="9"/>
      <c r="G15" s="9"/>
      <c r="H15" s="10" t="str">
        <f aca="false">IFERROR(AVERAGE(C15:G15)*100,"")</f>
        <v/>
      </c>
      <c r="I15" s="9"/>
      <c r="J15" s="9"/>
      <c r="K15" s="9"/>
      <c r="L15" s="9"/>
      <c r="M15" s="9"/>
      <c r="N15" s="9"/>
      <c r="O15" s="9"/>
      <c r="P15" s="10" t="str">
        <f aca="false">IFERROR(AVERAGE(I15:O15)*100,"")</f>
        <v/>
      </c>
      <c r="Q15" s="9"/>
      <c r="R15" s="8"/>
      <c r="S15" s="11"/>
    </row>
    <row r="16" customFormat="false" ht="15" hidden="false" customHeight="true" outlineLevel="0" collapsed="false">
      <c r="A16" s="7" t="n">
        <v>11</v>
      </c>
      <c r="B16" s="8"/>
      <c r="C16" s="9"/>
      <c r="D16" s="9"/>
      <c r="E16" s="9"/>
      <c r="F16" s="9"/>
      <c r="G16" s="9"/>
      <c r="H16" s="10" t="str">
        <f aca="false">IFERROR(AVERAGE(C16:G16)*100,"")</f>
        <v/>
      </c>
      <c r="I16" s="9"/>
      <c r="J16" s="9"/>
      <c r="K16" s="9"/>
      <c r="L16" s="9"/>
      <c r="M16" s="9"/>
      <c r="N16" s="9"/>
      <c r="O16" s="9"/>
      <c r="P16" s="10" t="str">
        <f aca="false">IFERROR(AVERAGE(I16:O16)*100,"")</f>
        <v/>
      </c>
      <c r="Q16" s="9"/>
      <c r="R16" s="8"/>
      <c r="S16" s="11"/>
    </row>
    <row r="17" customFormat="false" ht="15" hidden="false" customHeight="true" outlineLevel="0" collapsed="false">
      <c r="A17" s="7" t="n">
        <v>12</v>
      </c>
      <c r="B17" s="8"/>
      <c r="C17" s="9"/>
      <c r="D17" s="9"/>
      <c r="E17" s="9"/>
      <c r="F17" s="9"/>
      <c r="G17" s="9"/>
      <c r="H17" s="10" t="str">
        <f aca="false">IFERROR(AVERAGE(C17:G17)*100,"")</f>
        <v/>
      </c>
      <c r="I17" s="9"/>
      <c r="J17" s="9"/>
      <c r="K17" s="9"/>
      <c r="L17" s="9"/>
      <c r="M17" s="9"/>
      <c r="N17" s="9"/>
      <c r="O17" s="9"/>
      <c r="P17" s="10" t="str">
        <f aca="false">IFERROR(AVERAGE(I17:O17)*100,"")</f>
        <v/>
      </c>
      <c r="Q17" s="9"/>
      <c r="R17" s="8"/>
      <c r="S17" s="11"/>
    </row>
    <row r="18" customFormat="false" ht="15" hidden="false" customHeight="true" outlineLevel="0" collapsed="false">
      <c r="A18" s="7" t="n">
        <v>13</v>
      </c>
      <c r="B18" s="8"/>
      <c r="C18" s="9"/>
      <c r="D18" s="9"/>
      <c r="E18" s="9"/>
      <c r="F18" s="9"/>
      <c r="G18" s="9"/>
      <c r="H18" s="10" t="str">
        <f aca="false">IFERROR(AVERAGE(C18:G18)*100,"")</f>
        <v/>
      </c>
      <c r="I18" s="9"/>
      <c r="J18" s="9"/>
      <c r="K18" s="9"/>
      <c r="L18" s="9"/>
      <c r="M18" s="9"/>
      <c r="N18" s="9"/>
      <c r="O18" s="9"/>
      <c r="P18" s="10" t="str">
        <f aca="false">IFERROR(AVERAGE(I18:O18)*100,"")</f>
        <v/>
      </c>
      <c r="Q18" s="9"/>
      <c r="R18" s="8"/>
      <c r="S18" s="11"/>
    </row>
    <row r="19" customFormat="false" ht="15" hidden="false" customHeight="true" outlineLevel="0" collapsed="false">
      <c r="A19" s="7" t="n">
        <v>14</v>
      </c>
      <c r="B19" s="8"/>
      <c r="C19" s="9"/>
      <c r="D19" s="9"/>
      <c r="E19" s="9"/>
      <c r="F19" s="9"/>
      <c r="G19" s="9"/>
      <c r="H19" s="10" t="str">
        <f aca="false">IFERROR(AVERAGE(C19:G19)*100,"")</f>
        <v/>
      </c>
      <c r="I19" s="9"/>
      <c r="J19" s="9"/>
      <c r="K19" s="9"/>
      <c r="L19" s="9"/>
      <c r="M19" s="9"/>
      <c r="N19" s="9"/>
      <c r="O19" s="9"/>
      <c r="P19" s="10" t="str">
        <f aca="false">IFERROR(AVERAGE(I19:O19)*100,"")</f>
        <v/>
      </c>
      <c r="Q19" s="9"/>
      <c r="R19" s="8"/>
      <c r="S19" s="11"/>
    </row>
    <row r="20" customFormat="false" ht="15" hidden="false" customHeight="true" outlineLevel="0" collapsed="false">
      <c r="A20" s="7" t="n">
        <v>15</v>
      </c>
      <c r="B20" s="8"/>
      <c r="C20" s="9"/>
      <c r="D20" s="9"/>
      <c r="E20" s="9"/>
      <c r="F20" s="9"/>
      <c r="G20" s="9"/>
      <c r="H20" s="10" t="str">
        <f aca="false">IFERROR(AVERAGE(C20:G20)*100,"")</f>
        <v/>
      </c>
      <c r="I20" s="9"/>
      <c r="J20" s="9"/>
      <c r="K20" s="9"/>
      <c r="L20" s="9"/>
      <c r="M20" s="9"/>
      <c r="N20" s="9"/>
      <c r="O20" s="9"/>
      <c r="P20" s="10" t="str">
        <f aca="false">IFERROR(AVERAGE(I20:O20)*100,"")</f>
        <v/>
      </c>
      <c r="Q20" s="9"/>
      <c r="R20" s="8"/>
      <c r="S20" s="11"/>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4" min="3" style="1" width="14"/>
    <col collapsed="false" customWidth="true" hidden="false" outlineLevel="0" max="5" min="5" style="1" width="16"/>
    <col collapsed="false" customWidth="true" hidden="false" outlineLevel="0" max="7" min="6" style="1" width="14"/>
    <col collapsed="false" customWidth="true" hidden="false" outlineLevel="0" max="8" min="8" style="1" width="12"/>
    <col collapsed="false" customWidth="true" hidden="false" outlineLevel="0" max="9" min="9" style="1" width="8"/>
    <col collapsed="false" customWidth="true" hidden="false" outlineLevel="0" max="10" min="10" style="1" width="22"/>
    <col collapsed="false" customWidth="true" hidden="false" outlineLevel="0" max="12" min="11" style="1" width="26"/>
    <col collapsed="false" customWidth="true" hidden="false" outlineLevel="0" max="13" min="13" style="1" width="10"/>
  </cols>
  <sheetData>
    <row r="1" customFormat="false" ht="17.25" hidden="false" customHeight="true" outlineLevel="0" collapsed="false">
      <c r="A1" s="2" t="s">
        <v>32</v>
      </c>
      <c r="B1" s="2"/>
      <c r="C1" s="2"/>
      <c r="D1" s="2"/>
      <c r="E1" s="2"/>
      <c r="F1" s="2"/>
      <c r="G1" s="2"/>
      <c r="H1" s="2"/>
      <c r="I1" s="2"/>
      <c r="J1" s="2"/>
      <c r="K1" s="2"/>
      <c r="L1" s="2"/>
      <c r="M1" s="2"/>
    </row>
    <row r="2" customFormat="false" ht="15" hidden="false" customHeight="true" outlineLevel="0" collapsed="false">
      <c r="A2" s="3" t="s">
        <v>33</v>
      </c>
      <c r="B2" s="3"/>
      <c r="C2" s="3"/>
      <c r="D2" s="3"/>
      <c r="E2" s="3"/>
      <c r="F2" s="3"/>
      <c r="G2" s="3"/>
      <c r="H2" s="3"/>
      <c r="I2" s="3"/>
      <c r="J2" s="3"/>
      <c r="K2" s="3"/>
      <c r="L2" s="3"/>
      <c r="M2" s="3"/>
    </row>
    <row r="4" customFormat="false" ht="15" hidden="false" customHeight="true" outlineLevel="0" collapsed="false">
      <c r="A4" s="12" t="s">
        <v>34</v>
      </c>
      <c r="B4" s="12"/>
      <c r="C4" s="12"/>
      <c r="D4" s="12"/>
      <c r="E4" s="12"/>
      <c r="F4" s="12"/>
      <c r="G4" s="12"/>
      <c r="H4" s="12"/>
      <c r="I4" s="12"/>
      <c r="J4" s="12"/>
      <c r="K4" s="12"/>
      <c r="L4" s="12"/>
      <c r="M4" s="12"/>
    </row>
    <row r="6" customFormat="false" ht="39" hidden="false" customHeight="true" outlineLevel="0" collapsed="false">
      <c r="A6" s="4" t="s">
        <v>2</v>
      </c>
      <c r="B6" s="4" t="s">
        <v>3</v>
      </c>
      <c r="C6" s="4" t="s">
        <v>35</v>
      </c>
      <c r="D6" s="4" t="s">
        <v>36</v>
      </c>
      <c r="E6" s="4" t="s">
        <v>37</v>
      </c>
      <c r="F6" s="4" t="s">
        <v>38</v>
      </c>
      <c r="G6" s="4" t="s">
        <v>39</v>
      </c>
      <c r="H6" s="4" t="s">
        <v>40</v>
      </c>
      <c r="I6" s="4" t="s">
        <v>41</v>
      </c>
      <c r="J6" s="4" t="s">
        <v>42</v>
      </c>
      <c r="K6" s="4" t="s">
        <v>43</v>
      </c>
      <c r="L6" s="4" t="s">
        <v>44</v>
      </c>
      <c r="M6" s="4" t="s">
        <v>19</v>
      </c>
    </row>
    <row r="7" customFormat="false" ht="15" hidden="false" customHeight="true" outlineLevel="0" collapsed="false">
      <c r="A7" s="13" t="n">
        <f aca="false">'Batch Test Results'!A6</f>
        <v>1</v>
      </c>
      <c r="B7" s="14" t="str">
        <f aca="false">'Batch Test Results'!B6</f>
        <v>Ananya</v>
      </c>
      <c r="C7" s="13" t="n">
        <f aca="false">IFERROR('Batch Test Results'!H6,"")</f>
        <v>100</v>
      </c>
      <c r="D7" s="13" t="n">
        <f aca="false">IFERROR('Batch Test Results'!P6,"")</f>
        <v>100</v>
      </c>
      <c r="E7" s="9" t="n">
        <v>100</v>
      </c>
      <c r="F7" s="9" t="n">
        <v>100</v>
      </c>
      <c r="G7" s="9" t="n">
        <v>95</v>
      </c>
      <c r="H7" s="15" t="n">
        <f aca="false">IF(B7="","",IFERROR(C7,0)*0.25+IFERROR(D7,0)*0.35+IFERROR(E7,0)*0.15+IFERROR(F7,0)*0.15+IFERROR(G7,0)*0.1)</f>
        <v>99.5</v>
      </c>
      <c r="I7" s="16" t="n">
        <f aca="false">IF(H7="","",RANK(H7,$H$7:$H$21,0))</f>
        <v>1</v>
      </c>
      <c r="J7" s="11" t="s">
        <v>45</v>
      </c>
      <c r="K7" s="11" t="s">
        <v>46</v>
      </c>
      <c r="L7" s="11" t="s">
        <v>47</v>
      </c>
      <c r="M7" s="9" t="s">
        <v>26</v>
      </c>
    </row>
    <row r="8" customFormat="false" ht="15" hidden="false" customHeight="true" outlineLevel="0" collapsed="false">
      <c r="A8" s="13" t="n">
        <f aca="false">'Batch Test Results'!A7</f>
        <v>2</v>
      </c>
      <c r="B8" s="14" t="str">
        <f aca="false">'Batch Test Results'!B7</f>
        <v>Rahul</v>
      </c>
      <c r="C8" s="13" t="n">
        <f aca="false">IFERROR('Batch Test Results'!H7,"")</f>
        <v>100</v>
      </c>
      <c r="D8" s="13" t="n">
        <f aca="false">IFERROR('Batch Test Results'!P7,"")</f>
        <v>71.4285714285714</v>
      </c>
      <c r="E8" s="9" t="n">
        <v>55</v>
      </c>
      <c r="F8" s="9" t="n">
        <v>100</v>
      </c>
      <c r="G8" s="9" t="n">
        <v>70</v>
      </c>
      <c r="H8" s="15" t="n">
        <f aca="false">IF(B8="","",IFERROR(C8,0)*0.25+IFERROR(D8,0)*0.35+IFERROR(E8,0)*0.15+IFERROR(F8,0)*0.15+IFERROR(G8,0)*0.1)</f>
        <v>80.25</v>
      </c>
      <c r="I8" s="16" t="n">
        <f aca="false">IF(H8="","",RANK(H8,$H$7:$H$21,0))</f>
        <v>3</v>
      </c>
      <c r="J8" s="11" t="s">
        <v>48</v>
      </c>
      <c r="K8" s="11" t="s">
        <v>49</v>
      </c>
      <c r="L8" s="11" t="s">
        <v>50</v>
      </c>
      <c r="M8" s="9" t="s">
        <v>26</v>
      </c>
    </row>
    <row r="9" customFormat="false" ht="15" hidden="false" customHeight="true" outlineLevel="0" collapsed="false">
      <c r="A9" s="13" t="n">
        <f aca="false">'Batch Test Results'!A8</f>
        <v>3</v>
      </c>
      <c r="B9" s="14" t="str">
        <f aca="false">'Batch Test Results'!B8</f>
        <v>Priya</v>
      </c>
      <c r="C9" s="13" t="n">
        <f aca="false">IFERROR('Batch Test Results'!H8,"")</f>
        <v>100</v>
      </c>
      <c r="D9" s="13" t="n">
        <f aca="false">IFERROR('Batch Test Results'!P8,"")</f>
        <v>100</v>
      </c>
      <c r="E9" s="9" t="n">
        <v>90</v>
      </c>
      <c r="F9" s="9" t="n">
        <v>100</v>
      </c>
      <c r="G9" s="9" t="n">
        <v>85</v>
      </c>
      <c r="H9" s="15" t="n">
        <f aca="false">IF(B9="","",IFERROR(C9,0)*0.25+IFERROR(D9,0)*0.35+IFERROR(E9,0)*0.15+IFERROR(F9,0)*0.15+IFERROR(G9,0)*0.1)</f>
        <v>97</v>
      </c>
      <c r="I9" s="16" t="n">
        <f aca="false">IF(H9="","",RANK(H9,$H$7:$H$21,0))</f>
        <v>2</v>
      </c>
      <c r="J9" s="11" t="s">
        <v>51</v>
      </c>
      <c r="K9" s="11" t="s">
        <v>52</v>
      </c>
      <c r="L9" s="11" t="s">
        <v>53</v>
      </c>
      <c r="M9" s="9" t="s">
        <v>26</v>
      </c>
    </row>
    <row r="10" customFormat="false" ht="15" hidden="false" customHeight="true" outlineLevel="0" collapsed="false">
      <c r="A10" s="13" t="n">
        <f aca="false">'Batch Test Results'!A9</f>
        <v>4</v>
      </c>
      <c r="B10" s="14" t="n">
        <f aca="false">'Batch Test Results'!B9</f>
        <v>0</v>
      </c>
      <c r="C10" s="13" t="str">
        <f aca="false">IFERROR('Batch Test Results'!H9,"")</f>
        <v/>
      </c>
      <c r="D10" s="13" t="str">
        <f aca="false">IFERROR('Batch Test Results'!P9,"")</f>
        <v/>
      </c>
      <c r="E10" s="9"/>
      <c r="F10" s="9"/>
      <c r="G10" s="9"/>
      <c r="H10" s="15" t="str">
        <f aca="false">IF(B10="","",IFERROR(C10,0)*0.25+IFERROR(D10,0)*0.35+IFERROR(E10,0)*0.15+IFERROR(F10,0)*0.15+IFERROR(G10,0)*0.1)</f>
        <v/>
      </c>
      <c r="I10" s="16" t="str">
        <f aca="false">IF(H10="","",RANK(H10,$H$7:$H$21,0))</f>
        <v/>
      </c>
      <c r="J10" s="11"/>
      <c r="K10" s="11"/>
      <c r="L10" s="11"/>
      <c r="M10" s="9"/>
    </row>
    <row r="11" customFormat="false" ht="15" hidden="false" customHeight="true" outlineLevel="0" collapsed="false">
      <c r="A11" s="13" t="n">
        <f aca="false">'Batch Test Results'!A10</f>
        <v>5</v>
      </c>
      <c r="B11" s="14" t="n">
        <f aca="false">'Batch Test Results'!B10</f>
        <v>0</v>
      </c>
      <c r="C11" s="13" t="str">
        <f aca="false">IFERROR('Batch Test Results'!H10,"")</f>
        <v/>
      </c>
      <c r="D11" s="13" t="str">
        <f aca="false">IFERROR('Batch Test Results'!P10,"")</f>
        <v/>
      </c>
      <c r="E11" s="9"/>
      <c r="F11" s="9"/>
      <c r="G11" s="9"/>
      <c r="H11" s="15" t="str">
        <f aca="false">IF(B11="","",IFERROR(C11,0)*0.25+IFERROR(D11,0)*0.35+IFERROR(E11,0)*0.15+IFERROR(F11,0)*0.15+IFERROR(G11,0)*0.1)</f>
        <v/>
      </c>
      <c r="I11" s="16" t="str">
        <f aca="false">IF(H11="","",RANK(H11,$H$7:$H$21,0))</f>
        <v/>
      </c>
      <c r="J11" s="11"/>
      <c r="K11" s="11"/>
      <c r="L11" s="11"/>
      <c r="M11" s="9"/>
    </row>
    <row r="12" customFormat="false" ht="15" hidden="false" customHeight="true" outlineLevel="0" collapsed="false">
      <c r="A12" s="13" t="n">
        <f aca="false">'Batch Test Results'!A11</f>
        <v>6</v>
      </c>
      <c r="B12" s="14" t="n">
        <f aca="false">'Batch Test Results'!B11</f>
        <v>0</v>
      </c>
      <c r="C12" s="13" t="str">
        <f aca="false">IFERROR('Batch Test Results'!H11,"")</f>
        <v/>
      </c>
      <c r="D12" s="13" t="str">
        <f aca="false">IFERROR('Batch Test Results'!P11,"")</f>
        <v/>
      </c>
      <c r="E12" s="9"/>
      <c r="F12" s="9"/>
      <c r="G12" s="9"/>
      <c r="H12" s="15" t="str">
        <f aca="false">IF(B12="","",IFERROR(C12,0)*0.25+IFERROR(D12,0)*0.35+IFERROR(E12,0)*0.15+IFERROR(F12,0)*0.15+IFERROR(G12,0)*0.1)</f>
        <v/>
      </c>
      <c r="I12" s="16" t="str">
        <f aca="false">IF(H12="","",RANK(H12,$H$7:$H$21,0))</f>
        <v/>
      </c>
      <c r="J12" s="11"/>
      <c r="K12" s="11"/>
      <c r="L12" s="11"/>
      <c r="M12" s="9"/>
    </row>
    <row r="13" customFormat="false" ht="15" hidden="false" customHeight="true" outlineLevel="0" collapsed="false">
      <c r="A13" s="13" t="n">
        <f aca="false">'Batch Test Results'!A12</f>
        <v>7</v>
      </c>
      <c r="B13" s="14" t="n">
        <f aca="false">'Batch Test Results'!B12</f>
        <v>0</v>
      </c>
      <c r="C13" s="13" t="str">
        <f aca="false">IFERROR('Batch Test Results'!H12,"")</f>
        <v/>
      </c>
      <c r="D13" s="13" t="str">
        <f aca="false">IFERROR('Batch Test Results'!P12,"")</f>
        <v/>
      </c>
      <c r="E13" s="9"/>
      <c r="F13" s="9"/>
      <c r="G13" s="9"/>
      <c r="H13" s="15" t="str">
        <f aca="false">IF(B13="","",IFERROR(C13,0)*0.25+IFERROR(D13,0)*0.35+IFERROR(E13,0)*0.15+IFERROR(F13,0)*0.15+IFERROR(G13,0)*0.1)</f>
        <v/>
      </c>
      <c r="I13" s="16" t="str">
        <f aca="false">IF(H13="","",RANK(H13,$H$7:$H$21,0))</f>
        <v/>
      </c>
      <c r="J13" s="11"/>
      <c r="K13" s="11"/>
      <c r="L13" s="11"/>
      <c r="M13" s="9"/>
    </row>
    <row r="14" customFormat="false" ht="15" hidden="false" customHeight="true" outlineLevel="0" collapsed="false">
      <c r="A14" s="13" t="n">
        <f aca="false">'Batch Test Results'!A13</f>
        <v>8</v>
      </c>
      <c r="B14" s="14" t="n">
        <f aca="false">'Batch Test Results'!B13</f>
        <v>0</v>
      </c>
      <c r="C14" s="13" t="str">
        <f aca="false">IFERROR('Batch Test Results'!H13,"")</f>
        <v/>
      </c>
      <c r="D14" s="13" t="str">
        <f aca="false">IFERROR('Batch Test Results'!P13,"")</f>
        <v/>
      </c>
      <c r="E14" s="9"/>
      <c r="F14" s="9"/>
      <c r="G14" s="9"/>
      <c r="H14" s="15" t="str">
        <f aca="false">IF(B14="","",IFERROR(C14,0)*0.25+IFERROR(D14,0)*0.35+IFERROR(E14,0)*0.15+IFERROR(F14,0)*0.15+IFERROR(G14,0)*0.1)</f>
        <v/>
      </c>
      <c r="I14" s="16" t="str">
        <f aca="false">IF(H14="","",RANK(H14,$H$7:$H$21,0))</f>
        <v/>
      </c>
      <c r="J14" s="11"/>
      <c r="K14" s="11"/>
      <c r="L14" s="11"/>
      <c r="M14" s="9"/>
    </row>
    <row r="15" customFormat="false" ht="15" hidden="false" customHeight="true" outlineLevel="0" collapsed="false">
      <c r="A15" s="13" t="n">
        <f aca="false">'Batch Test Results'!A14</f>
        <v>9</v>
      </c>
      <c r="B15" s="14" t="n">
        <f aca="false">'Batch Test Results'!B14</f>
        <v>0</v>
      </c>
      <c r="C15" s="13" t="str">
        <f aca="false">IFERROR('Batch Test Results'!H14,"")</f>
        <v/>
      </c>
      <c r="D15" s="13" t="str">
        <f aca="false">IFERROR('Batch Test Results'!P14,"")</f>
        <v/>
      </c>
      <c r="E15" s="9"/>
      <c r="F15" s="9"/>
      <c r="G15" s="9"/>
      <c r="H15" s="15" t="str">
        <f aca="false">IF(B15="","",IFERROR(C15,0)*0.25+IFERROR(D15,0)*0.35+IFERROR(E15,0)*0.15+IFERROR(F15,0)*0.15+IFERROR(G15,0)*0.1)</f>
        <v/>
      </c>
      <c r="I15" s="16" t="str">
        <f aca="false">IF(H15="","",RANK(H15,$H$7:$H$21,0))</f>
        <v/>
      </c>
      <c r="J15" s="11"/>
      <c r="K15" s="11"/>
      <c r="L15" s="11"/>
      <c r="M15" s="9"/>
    </row>
    <row r="16" customFormat="false" ht="15" hidden="false" customHeight="true" outlineLevel="0" collapsed="false">
      <c r="A16" s="13" t="n">
        <f aca="false">'Batch Test Results'!A15</f>
        <v>10</v>
      </c>
      <c r="B16" s="14" t="n">
        <f aca="false">'Batch Test Results'!B15</f>
        <v>0</v>
      </c>
      <c r="C16" s="13" t="str">
        <f aca="false">IFERROR('Batch Test Results'!H15,"")</f>
        <v/>
      </c>
      <c r="D16" s="13" t="str">
        <f aca="false">IFERROR('Batch Test Results'!P15,"")</f>
        <v/>
      </c>
      <c r="E16" s="9"/>
      <c r="F16" s="9"/>
      <c r="G16" s="9"/>
      <c r="H16" s="15" t="str">
        <f aca="false">IF(B16="","",IFERROR(C16,0)*0.25+IFERROR(D16,0)*0.35+IFERROR(E16,0)*0.15+IFERROR(F16,0)*0.15+IFERROR(G16,0)*0.1)</f>
        <v/>
      </c>
      <c r="I16" s="16" t="str">
        <f aca="false">IF(H16="","",RANK(H16,$H$7:$H$21,0))</f>
        <v/>
      </c>
      <c r="J16" s="11"/>
      <c r="K16" s="11"/>
      <c r="L16" s="11"/>
      <c r="M16" s="9"/>
    </row>
    <row r="17" customFormat="false" ht="15" hidden="false" customHeight="true" outlineLevel="0" collapsed="false">
      <c r="A17" s="13" t="n">
        <f aca="false">'Batch Test Results'!A16</f>
        <v>11</v>
      </c>
      <c r="B17" s="14" t="n">
        <f aca="false">'Batch Test Results'!B16</f>
        <v>0</v>
      </c>
      <c r="C17" s="13" t="str">
        <f aca="false">IFERROR('Batch Test Results'!H16,"")</f>
        <v/>
      </c>
      <c r="D17" s="13" t="str">
        <f aca="false">IFERROR('Batch Test Results'!P16,"")</f>
        <v/>
      </c>
      <c r="E17" s="9"/>
      <c r="F17" s="9"/>
      <c r="G17" s="9"/>
      <c r="H17" s="15" t="str">
        <f aca="false">IF(B17="","",IFERROR(C17,0)*0.25+IFERROR(D17,0)*0.35+IFERROR(E17,0)*0.15+IFERROR(F17,0)*0.15+IFERROR(G17,0)*0.1)</f>
        <v/>
      </c>
      <c r="I17" s="16" t="str">
        <f aca="false">IF(H17="","",RANK(H17,$H$7:$H$21,0))</f>
        <v/>
      </c>
      <c r="J17" s="11"/>
      <c r="K17" s="11"/>
      <c r="L17" s="11"/>
      <c r="M17" s="9"/>
    </row>
    <row r="18" customFormat="false" ht="15" hidden="false" customHeight="true" outlineLevel="0" collapsed="false">
      <c r="A18" s="13" t="n">
        <f aca="false">'Batch Test Results'!A17</f>
        <v>12</v>
      </c>
      <c r="B18" s="14" t="n">
        <f aca="false">'Batch Test Results'!B17</f>
        <v>0</v>
      </c>
      <c r="C18" s="13" t="str">
        <f aca="false">IFERROR('Batch Test Results'!H17,"")</f>
        <v/>
      </c>
      <c r="D18" s="13" t="str">
        <f aca="false">IFERROR('Batch Test Results'!P17,"")</f>
        <v/>
      </c>
      <c r="E18" s="9"/>
      <c r="F18" s="9"/>
      <c r="G18" s="9"/>
      <c r="H18" s="15" t="str">
        <f aca="false">IF(B18="","",IFERROR(C18,0)*0.25+IFERROR(D18,0)*0.35+IFERROR(E18,0)*0.15+IFERROR(F18,0)*0.15+IFERROR(G18,0)*0.1)</f>
        <v/>
      </c>
      <c r="I18" s="16" t="str">
        <f aca="false">IF(H18="","",RANK(H18,$H$7:$H$21,0))</f>
        <v/>
      </c>
      <c r="J18" s="11"/>
      <c r="K18" s="11"/>
      <c r="L18" s="11"/>
      <c r="M18" s="9"/>
    </row>
    <row r="19" customFormat="false" ht="15" hidden="false" customHeight="true" outlineLevel="0" collapsed="false">
      <c r="A19" s="13" t="n">
        <f aca="false">'Batch Test Results'!A18</f>
        <v>13</v>
      </c>
      <c r="B19" s="14" t="n">
        <f aca="false">'Batch Test Results'!B18</f>
        <v>0</v>
      </c>
      <c r="C19" s="13" t="str">
        <f aca="false">IFERROR('Batch Test Results'!H18,"")</f>
        <v/>
      </c>
      <c r="D19" s="13" t="str">
        <f aca="false">IFERROR('Batch Test Results'!P18,"")</f>
        <v/>
      </c>
      <c r="E19" s="9"/>
      <c r="F19" s="9"/>
      <c r="G19" s="9"/>
      <c r="H19" s="15" t="str">
        <f aca="false">IF(B19="","",IFERROR(C19,0)*0.25+IFERROR(D19,0)*0.35+IFERROR(E19,0)*0.15+IFERROR(F19,0)*0.15+IFERROR(G19,0)*0.1)</f>
        <v/>
      </c>
      <c r="I19" s="16" t="str">
        <f aca="false">IF(H19="","",RANK(H19,$H$7:$H$21,0))</f>
        <v/>
      </c>
      <c r="J19" s="11"/>
      <c r="K19" s="11"/>
      <c r="L19" s="11"/>
      <c r="M19" s="9"/>
    </row>
    <row r="20" customFormat="false" ht="15" hidden="false" customHeight="true" outlineLevel="0" collapsed="false">
      <c r="A20" s="13" t="n">
        <f aca="false">'Batch Test Results'!A19</f>
        <v>14</v>
      </c>
      <c r="B20" s="14" t="n">
        <f aca="false">'Batch Test Results'!B19</f>
        <v>0</v>
      </c>
      <c r="C20" s="13" t="str">
        <f aca="false">IFERROR('Batch Test Results'!H19,"")</f>
        <v/>
      </c>
      <c r="D20" s="13" t="str">
        <f aca="false">IFERROR('Batch Test Results'!P19,"")</f>
        <v/>
      </c>
      <c r="E20" s="9"/>
      <c r="F20" s="9"/>
      <c r="G20" s="9"/>
      <c r="H20" s="15" t="str">
        <f aca="false">IF(B20="","",IFERROR(C20,0)*0.25+IFERROR(D20,0)*0.35+IFERROR(E20,0)*0.15+IFERROR(F20,0)*0.15+IFERROR(G20,0)*0.1)</f>
        <v/>
      </c>
      <c r="I20" s="16" t="str">
        <f aca="false">IF(H20="","",RANK(H20,$H$7:$H$21,0))</f>
        <v/>
      </c>
      <c r="J20" s="11"/>
      <c r="K20" s="11"/>
      <c r="L20" s="11"/>
      <c r="M20" s="9"/>
    </row>
    <row r="21" customFormat="false" ht="15" hidden="false" customHeight="true" outlineLevel="0" collapsed="false">
      <c r="A21" s="13" t="n">
        <f aca="false">'Batch Test Results'!A20</f>
        <v>15</v>
      </c>
      <c r="B21" s="14" t="n">
        <f aca="false">'Batch Test Results'!B20</f>
        <v>0</v>
      </c>
      <c r="C21" s="13" t="str">
        <f aca="false">IFERROR('Batch Test Results'!H20,"")</f>
        <v/>
      </c>
      <c r="D21" s="13" t="n">
        <f aca="false">IFERROR('Batch Test Results'!O20,"")</f>
        <v>0</v>
      </c>
      <c r="E21" s="9"/>
      <c r="F21" s="9"/>
      <c r="G21" s="9"/>
      <c r="H21" s="15" t="str">
        <f aca="false">IF(B21="","",IFERROR(C21,0)*0.25+IFERROR(D21,0)*0.35+IFERROR(E21,0)*0.15+IFERROR(F21,0)*0.15+IFERROR(G21,0)*0.1)</f>
        <v/>
      </c>
      <c r="I21" s="16" t="str">
        <f aca="false">IF(H21="","",RANK(H21,$H$7:$H$21,0))</f>
        <v/>
      </c>
      <c r="J21" s="11"/>
      <c r="K21" s="11"/>
      <c r="L21" s="11"/>
      <c r="M21" s="9"/>
    </row>
  </sheetData>
  <mergeCells count="3">
    <mergeCell ref="A1:M1"/>
    <mergeCell ref="A2:M2"/>
    <mergeCell ref="A4:M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7.25" hidden="false" customHeight="true" outlineLevel="0" collapsed="false">
      <c r="A1" s="17" t="s">
        <v>54</v>
      </c>
    </row>
    <row r="2" customFormat="false" ht="15" hidden="false" customHeight="true" outlineLevel="0" collapsed="false">
      <c r="A2" s="18"/>
    </row>
    <row r="3" customFormat="false" ht="23.25" hidden="false" customHeight="true" outlineLevel="0" collapsed="false">
      <c r="A3" s="19" t="s">
        <v>55</v>
      </c>
    </row>
    <row r="4" customFormat="false" ht="15" hidden="false" customHeight="true" outlineLevel="0" collapsed="false">
      <c r="A4" s="18"/>
    </row>
    <row r="5" customFormat="false" ht="15" hidden="false" customHeight="true" outlineLevel="0" collapsed="false">
      <c r="A5" s="19" t="s">
        <v>56</v>
      </c>
    </row>
    <row r="6" customFormat="false" ht="23.25" hidden="false" customHeight="true" outlineLevel="0" collapsed="false">
      <c r="A6" s="18" t="s">
        <v>57</v>
      </c>
    </row>
    <row r="7" customFormat="false" ht="15" hidden="false" customHeight="true" outlineLevel="0" collapsed="false">
      <c r="A7" s="18" t="s">
        <v>58</v>
      </c>
    </row>
    <row r="8" customFormat="false" ht="15" hidden="false" customHeight="true" outlineLevel="0" collapsed="false">
      <c r="A8" s="18" t="s">
        <v>59</v>
      </c>
    </row>
    <row r="9" customFormat="false" ht="15" hidden="false" customHeight="true" outlineLevel="0" collapsed="false">
      <c r="A9" s="18"/>
    </row>
    <row r="10" customFormat="false" ht="15" hidden="false" customHeight="true" outlineLevel="0" collapsed="false">
      <c r="A10" s="19" t="s">
        <v>60</v>
      </c>
    </row>
    <row r="11" customFormat="false" ht="23.25" hidden="false" customHeight="true" outlineLevel="0" collapsed="false">
      <c r="A11" s="18" t="s">
        <v>61</v>
      </c>
    </row>
    <row r="12" customFormat="false" ht="23.25" hidden="false" customHeight="true" outlineLevel="0" collapsed="false">
      <c r="A12" s="18" t="s">
        <v>62</v>
      </c>
    </row>
    <row r="13" customFormat="false" ht="23.25" hidden="false" customHeight="true" outlineLevel="0" collapsed="false">
      <c r="A13" s="18" t="s">
        <v>63</v>
      </c>
    </row>
    <row r="14" customFormat="false" ht="15" hidden="false" customHeight="true" outlineLevel="0" collapsed="false">
      <c r="A14" s="18" t="s">
        <v>64</v>
      </c>
    </row>
    <row r="15" customFormat="false" ht="15" hidden="false" customHeight="true" outlineLevel="0" collapsed="false">
      <c r="A15" s="18"/>
    </row>
    <row r="16" customFormat="false" ht="23.25" hidden="false" customHeight="true" outlineLevel="0" collapsed="false">
      <c r="A16" s="19" t="s">
        <v>65</v>
      </c>
    </row>
    <row r="17" customFormat="false" ht="15" hidden="false" customHeight="true" outlineLevel="0" collapsed="false">
      <c r="A17" s="18"/>
    </row>
    <row r="18" customFormat="false" ht="23.25" hidden="false" customHeight="true" outlineLevel="0" collapsed="false">
      <c r="A18" s="19" t="s">
        <v>66</v>
      </c>
    </row>
    <row r="19" customFormat="false" ht="15" hidden="false" customHeight="true" outlineLevel="0" collapsed="false">
      <c r="A19" s="18"/>
    </row>
    <row r="20" customFormat="false" ht="23.25" hidden="false" customHeight="true" outlineLevel="0" collapsed="false">
      <c r="A20" s="18"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2026-09-27T08:01:26Z</dcterms:created>
  <dc:creator>openpyxl</dc:creator>
  <dc:description/>
  <dc:language>en-US</dc:language>
  <cp:lastModifiedBy/>
  <dcterms:modified xsi:type="dcterms:W3CDTF">2026-09-30T17:37:19Z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